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Private\SO Dep't\Ngọc Nhi SO - GT\ĐH Đại Lý\"/>
    </mc:Choice>
  </mc:AlternateContent>
  <xr:revisionPtr revIDLastSave="0" documentId="13_ncr:1_{1D527F00-0CA9-4334-A88A-7D3A8FD617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L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9" l="1"/>
  <c r="H31" i="9" s="1"/>
  <c r="O31" i="9" s="1"/>
  <c r="O38" i="9" s="1"/>
  <c r="O33" i="9"/>
  <c r="O37" i="9"/>
  <c r="J30" i="9"/>
  <c r="L30" i="9" s="1"/>
  <c r="M30" i="9" s="1"/>
  <c r="J31" i="9"/>
  <c r="L31" i="9" s="1"/>
  <c r="J32" i="9"/>
  <c r="J33" i="9"/>
  <c r="L33" i="9" s="1"/>
  <c r="J34" i="9"/>
  <c r="J35" i="9"/>
  <c r="L35" i="9" s="1"/>
  <c r="J36" i="9"/>
  <c r="L36" i="9" s="1"/>
  <c r="J37" i="9"/>
  <c r="L37" i="9" s="1"/>
  <c r="H30" i="9"/>
  <c r="O30" i="9" s="1"/>
  <c r="H32" i="9"/>
  <c r="O32" i="9" s="1"/>
  <c r="H33" i="9"/>
  <c r="H34" i="9"/>
  <c r="O34" i="9" s="1"/>
  <c r="H35" i="9"/>
  <c r="O35" i="9" s="1"/>
  <c r="H36" i="9"/>
  <c r="O36" i="9" s="1"/>
  <c r="H37" i="9"/>
  <c r="J26" i="9"/>
  <c r="L26" i="9" s="1"/>
  <c r="H26" i="9"/>
  <c r="O26" i="9" s="1"/>
  <c r="J25" i="9"/>
  <c r="L25" i="9" s="1"/>
  <c r="H25" i="9"/>
  <c r="O25" i="9" s="1"/>
  <c r="J24" i="9"/>
  <c r="L24" i="9" s="1"/>
  <c r="H24" i="9"/>
  <c r="O24" i="9" s="1"/>
  <c r="M36" i="9" l="1"/>
  <c r="L32" i="9"/>
  <c r="M32" i="9" s="1"/>
  <c r="L34" i="9"/>
  <c r="M34" i="9" s="1"/>
  <c r="M37" i="9"/>
  <c r="M35" i="9"/>
  <c r="M33" i="9"/>
  <c r="M31" i="9"/>
  <c r="M38" i="9" s="1"/>
  <c r="M25" i="9"/>
  <c r="M24" i="9"/>
  <c r="M26" i="9"/>
  <c r="G38" i="9"/>
  <c r="J20" i="9"/>
  <c r="L20" i="9" s="1"/>
  <c r="J21" i="9"/>
  <c r="L21" i="9" s="1"/>
  <c r="J22" i="9"/>
  <c r="L22" i="9" s="1"/>
  <c r="J23" i="9"/>
  <c r="L23" i="9" s="1"/>
  <c r="J27" i="9"/>
  <c r="L27" i="9" s="1"/>
  <c r="J28" i="9"/>
  <c r="L28" i="9" s="1"/>
  <c r="J29" i="9"/>
  <c r="L29" i="9" s="1"/>
  <c r="F38" i="9"/>
  <c r="H29" i="9"/>
  <c r="O29" i="9" s="1"/>
  <c r="H28" i="9"/>
  <c r="O28" i="9" s="1"/>
  <c r="H27" i="9"/>
  <c r="O27" i="9" s="1"/>
  <c r="H23" i="9"/>
  <c r="O23" i="9" s="1"/>
  <c r="H22" i="9"/>
  <c r="O22" i="9" s="1"/>
  <c r="H21" i="9"/>
  <c r="O21" i="9" s="1"/>
  <c r="H20" i="9"/>
  <c r="O20" i="9" s="1"/>
  <c r="J19" i="9"/>
  <c r="L19" i="9" s="1"/>
  <c r="H19" i="9"/>
  <c r="O19" i="9" s="1"/>
  <c r="M29" i="9" l="1"/>
  <c r="M22" i="9"/>
  <c r="M28" i="9"/>
  <c r="M21" i="9"/>
  <c r="M27" i="9"/>
  <c r="M20" i="9"/>
  <c r="M19" i="9"/>
  <c r="M23" i="9"/>
  <c r="H38" i="9"/>
  <c r="M45" i="9" l="1"/>
</calcChain>
</file>

<file path=xl/sharedStrings.xml><?xml version="1.0" encoding="utf-8"?>
<sst xmlns="http://schemas.openxmlformats.org/spreadsheetml/2006/main" count="142" uniqueCount="105">
  <si>
    <t>MST :</t>
  </si>
  <si>
    <t>Người liên hệ :</t>
  </si>
  <si>
    <t>Điện thoại :</t>
  </si>
  <si>
    <t>Địa chỉ giao dịch :</t>
  </si>
  <si>
    <t>Khu vực :</t>
  </si>
  <si>
    <t>STT</t>
  </si>
  <si>
    <t xml:space="preserve">Tên hàng hóa </t>
  </si>
  <si>
    <t>Quy cách</t>
  </si>
  <si>
    <t>Đơn vị
 tính</t>
  </si>
  <si>
    <t>Số
 lượng hàng đặt</t>
  </si>
  <si>
    <t>1</t>
  </si>
  <si>
    <t>2</t>
  </si>
  <si>
    <t>3</t>
  </si>
  <si>
    <t>4</t>
  </si>
  <si>
    <t>350 ml CK</t>
  </si>
  <si>
    <t>Nước tinh khiết Satori chai 350ml</t>
  </si>
  <si>
    <t>Thùng</t>
  </si>
  <si>
    <t>500 ml CK</t>
  </si>
  <si>
    <t>Nước tinh khiết Satori chai 500ml</t>
  </si>
  <si>
    <t>1500 ml CK</t>
  </si>
  <si>
    <t>Nước tinh khiết Satori chai 1500ml</t>
  </si>
  <si>
    <t>Bình 20L CK</t>
  </si>
  <si>
    <t>Nước tinh khiết Satori bình 20L có tay cầm, không vòi</t>
  </si>
  <si>
    <t xml:space="preserve">Bình </t>
  </si>
  <si>
    <t>Bình</t>
  </si>
  <si>
    <t>Tổng tiền đơn hàng:</t>
  </si>
  <si>
    <t>Người lập</t>
  </si>
  <si>
    <t>(Ký, họ tên)</t>
  </si>
  <si>
    <t>Tổng 
tải trọng 
( Kg)</t>
  </si>
  <si>
    <t>Số
 lượng hàng khuyến mãi</t>
  </si>
  <si>
    <t>Tổng cộng sản lượng</t>
  </si>
  <si>
    <t>6</t>
  </si>
  <si>
    <t>7</t>
  </si>
  <si>
    <t>8</t>
  </si>
  <si>
    <t>9=(5*8)</t>
  </si>
  <si>
    <t>Nước tinh khiết Satori bình 19L có vòi</t>
  </si>
  <si>
    <t>Nước tinh khiết Satori chai 450ml premium</t>
  </si>
  <si>
    <t>20 chai/thùng</t>
  </si>
  <si>
    <t>12 chai/thùng</t>
  </si>
  <si>
    <t>24 chai/thùng</t>
  </si>
  <si>
    <t>5</t>
  </si>
  <si>
    <t>Trong lượng 
1 thùng/bình (kg)</t>
  </si>
  <si>
    <t>Nước đóng chai Hikari 500ml</t>
  </si>
  <si>
    <t>Nước tinh khiết Satori bình 19L không vòi</t>
  </si>
  <si>
    <t>(2) Công ty thanh toán tiền thưởng ….................. (+VAT):</t>
  </si>
  <si>
    <t>(3) Công ty thanh toán tiền thưởng ….................. (+VAT):</t>
  </si>
  <si>
    <t>(4) Công ty thanh toán tiền thưởng ….................. (+VAT):</t>
  </si>
  <si>
    <t>(5) Công ty hoàn cọc vỏ bình tháng …./..........</t>
  </si>
  <si>
    <t>9</t>
  </si>
  <si>
    <t>10</t>
  </si>
  <si>
    <t>11</t>
  </si>
  <si>
    <t>24 lon/thùng</t>
  </si>
  <si>
    <t>Nước ép me Satori Juice 24 lon/thùng</t>
  </si>
  <si>
    <t>Nước ép mãng cầu Satori Juice 24 lon/thùng</t>
  </si>
  <si>
    <t>Nước ép ổi hồng Satori Juice 24 lon/thùng</t>
  </si>
  <si>
    <t>Đơn 
giá bán
(chưa GTGT)</t>
  </si>
  <si>
    <t>Địa chỉ giao hàng :</t>
  </si>
  <si>
    <t>Bên mua :</t>
  </si>
  <si>
    <t>ĐƠN ĐẶT HÀNG</t>
  </si>
  <si>
    <t>Tiền thuế</t>
  </si>
  <si>
    <t>Mức thuế suất</t>
  </si>
  <si>
    <t>Tổng tiền (gồm GTGT)</t>
  </si>
  <si>
    <t>Thành tiền (chưa GTGT)</t>
  </si>
  <si>
    <t>Xác nhận của Đại lý</t>
  </si>
  <si>
    <t xml:space="preserve">(1) Công nợ - phải thu (+), phải trả (-): </t>
  </si>
  <si>
    <t>CÔNG TY CỔ PHẦN THƯƠNG MẠI SATORI</t>
  </si>
  <si>
    <t>Địa chỉ: 	Số 1076 Tạ Quang Bửu, Phường Bình Đông, Thành phố Hồ Chí Minh, Việt Nam</t>
  </si>
  <si>
    <t>MST: 0302056457</t>
  </si>
  <si>
    <t>Số điện thoại: 0287 300 5797</t>
  </si>
  <si>
    <t>(6) Tiền Đối tác đặt cọc vỏ bình Satori: 50.000đ/vỏ</t>
  </si>
  <si>
    <t>(7) Số tiền Đối tác cần thanh toán (+VAT)</t>
  </si>
  <si>
    <t>11=(9*10)</t>
  </si>
  <si>
    <t>12=(9+11)</t>
  </si>
  <si>
    <t>13</t>
  </si>
  <si>
    <t>14=(7*13)</t>
  </si>
  <si>
    <t>12</t>
  </si>
  <si>
    <t>14</t>
  </si>
  <si>
    <t>15</t>
  </si>
  <si>
    <t>16</t>
  </si>
  <si>
    <t>17</t>
  </si>
  <si>
    <t>18</t>
  </si>
  <si>
    <t>19</t>
  </si>
  <si>
    <t>Nước tinh khiết Satori 5L không vòi</t>
  </si>
  <si>
    <t>Nước tinh khiết Satori 5L có vòi</t>
  </si>
  <si>
    <t>Nước tinh khiết Satori 5L không vòi_bình</t>
  </si>
  <si>
    <t>Nước tinh khiết Satori 5L có vòi_bình</t>
  </si>
  <si>
    <t>Nước đóng chai Hikari 250ml_thùng</t>
  </si>
  <si>
    <t>Nước đóng chai Hikari 250ml (24 chai/lốc)</t>
  </si>
  <si>
    <t>Nước đóng chai Hikari 250ml (12 chai/lốc)</t>
  </si>
  <si>
    <t>Nước đóng chai Hikari 250ml (6 chai/lốc)</t>
  </si>
  <si>
    <t>04 bình/ thùng</t>
  </si>
  <si>
    <t>01 bình</t>
  </si>
  <si>
    <t>24 chai/ thùng</t>
  </si>
  <si>
    <t>24 chai/ lốc</t>
  </si>
  <si>
    <t>12 chai/ lốc</t>
  </si>
  <si>
    <t>6 chai/ lốc</t>
  </si>
  <si>
    <t>Lốc</t>
  </si>
  <si>
    <t>TÊN TÀI KHOẢN NGÂN HÀNG : CÔNG TY TNHH DỊCH VỤ THƯƠNG MẠI SATORI</t>
  </si>
  <si>
    <t>SỐ TÀI KHOẢN: 8608998686 - Ngân Hàng TMCP Đầu tư và Phát triển Việt Nam (BIDV) - Chi nhánh Sở giao dịch 3n</t>
  </si>
  <si>
    <t>CÔNG TY TNHH NPP HỒNG MINH</t>
  </si>
  <si>
    <t>0317860879</t>
  </si>
  <si>
    <t>Số 4 Đường Tú Xương, Phường Tăng Nhơn Phú, Thành phố Hồ Chí Minh, Việt Nam.</t>
  </si>
  <si>
    <t>0907293483</t>
  </si>
  <si>
    <t>Bà HOÀNG THỊ NGỌC THI</t>
  </si>
  <si>
    <t>TPHCM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</si>
</sst>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i/>
      <sz val="10"/>
      <color indexed="57"/>
      <name val="Verdana"/>
      <family val="2"/>
    </font>
    <font>
      <b/>
      <sz val="10"/>
      <color indexed="57"/>
      <name val="Verdana"/>
      <family val="2"/>
    </font>
    <font>
      <i/>
      <sz val="10"/>
      <name val="Verdana"/>
      <family val="2"/>
    </font>
    <font>
      <b/>
      <sz val="12"/>
      <name val="Clear Sans"/>
      <family val="2"/>
    </font>
    <font>
      <sz val="10"/>
      <name val="Arial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name val="VNI-Times"/>
    </font>
    <font>
      <sz val="11"/>
      <color indexed="8"/>
      <name val="Calibri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8"/>
      <name val="Times New Roman"/>
      <family val="1"/>
    </font>
    <font>
      <sz val="13"/>
      <color theme="8"/>
      <name val="Times New Roman"/>
      <family val="1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8"/>
      <name val="Calibri"/>
      <family val="2"/>
      <scheme val="minor"/>
    </font>
    <font>
      <b/>
      <sz val="20"/>
      <name val="Times New Roman"/>
      <family val="1"/>
    </font>
    <font>
      <b/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Protection="0"/>
    <xf numFmtId="0" fontId="10" fillId="0" borderId="0" applyProtection="0"/>
    <xf numFmtId="43" fontId="11" fillId="0" borderId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49" fontId="2" fillId="2" borderId="0" xfId="0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 wrapText="1"/>
    </xf>
    <xf numFmtId="2" fontId="12" fillId="2" borderId="1" xfId="1" applyNumberFormat="1" applyFont="1" applyFill="1" applyBorder="1" applyAlignment="1">
      <alignment horizontal="center" vertical="center" wrapText="1"/>
    </xf>
    <xf numFmtId="49" fontId="13" fillId="2" borderId="1" xfId="3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/>
    </xf>
    <xf numFmtId="0" fontId="2" fillId="2" borderId="0" xfId="3" applyFont="1" applyFill="1" applyAlignment="1">
      <alignment horizontal="center" vertical="center"/>
    </xf>
    <xf numFmtId="165" fontId="2" fillId="2" borderId="0" xfId="4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/>
    </xf>
    <xf numFmtId="164" fontId="12" fillId="2" borderId="1" xfId="1" applyNumberFormat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 wrapText="1"/>
    </xf>
    <xf numFmtId="43" fontId="13" fillId="2" borderId="1" xfId="1" applyFont="1" applyFill="1" applyBorder="1" applyAlignment="1">
      <alignment horizontal="center" vertical="center" wrapText="1"/>
    </xf>
    <xf numFmtId="0" fontId="2" fillId="2" borderId="1" xfId="4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49" fontId="13" fillId="2" borderId="1" xfId="3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43" fontId="4" fillId="2" borderId="0" xfId="1" applyFont="1" applyFill="1" applyBorder="1" applyAlignment="1">
      <alignment vertical="center"/>
    </xf>
    <xf numFmtId="2" fontId="5" fillId="2" borderId="0" xfId="0" applyNumberFormat="1" applyFont="1" applyFill="1" applyAlignment="1">
      <alignment horizontal="left" vertical="center" wrapText="1"/>
    </xf>
    <xf numFmtId="2" fontId="6" fillId="2" borderId="0" xfId="0" applyNumberFormat="1" applyFont="1" applyFill="1" applyAlignment="1">
      <alignment horizontal="center" vertical="center" wrapText="1"/>
    </xf>
    <xf numFmtId="43" fontId="6" fillId="2" borderId="0" xfId="1" applyFont="1" applyFill="1" applyBorder="1" applyAlignment="1">
      <alignment horizontal="center" vertical="center" wrapText="1"/>
    </xf>
    <xf numFmtId="0" fontId="9" fillId="2" borderId="0" xfId="2" applyFont="1" applyFill="1" applyAlignment="1">
      <alignment vertical="center"/>
    </xf>
    <xf numFmtId="0" fontId="9" fillId="2" borderId="0" xfId="3" applyFont="1" applyFill="1" applyAlignment="1">
      <alignment horizontal="left" vertical="center" wrapText="1"/>
    </xf>
    <xf numFmtId="2" fontId="9" fillId="2" borderId="0" xfId="1" applyNumberFormat="1" applyFont="1" applyFill="1" applyBorder="1" applyAlignment="1">
      <alignment horizontal="right" vertical="center"/>
    </xf>
    <xf numFmtId="2" fontId="9" fillId="2" borderId="0" xfId="1" applyNumberFormat="1" applyFont="1" applyFill="1" applyBorder="1" applyAlignment="1">
      <alignment vertical="center"/>
    </xf>
    <xf numFmtId="43" fontId="9" fillId="2" borderId="0" xfId="1" applyFont="1" applyFill="1" applyBorder="1" applyAlignment="1">
      <alignment vertical="center"/>
    </xf>
    <xf numFmtId="43" fontId="12" fillId="2" borderId="1" xfId="4" applyFont="1" applyFill="1" applyBorder="1" applyAlignment="1">
      <alignment vertical="center"/>
    </xf>
    <xf numFmtId="0" fontId="2" fillId="2" borderId="0" xfId="3" applyFont="1" applyFill="1" applyAlignment="1">
      <alignment vertical="center"/>
    </xf>
    <xf numFmtId="165" fontId="2" fillId="2" borderId="0" xfId="3" applyNumberFormat="1" applyFont="1" applyFill="1" applyAlignment="1">
      <alignment vertical="center"/>
    </xf>
    <xf numFmtId="43" fontId="2" fillId="2" borderId="0" xfId="1" applyFont="1" applyFill="1" applyBorder="1" applyAlignment="1">
      <alignment vertical="center"/>
    </xf>
    <xf numFmtId="165" fontId="12" fillId="3" borderId="1" xfId="4" applyNumberFormat="1" applyFont="1" applyFill="1" applyBorder="1" applyAlignment="1">
      <alignment vertical="center"/>
    </xf>
    <xf numFmtId="2" fontId="2" fillId="2" borderId="0" xfId="1" applyNumberFormat="1" applyFont="1" applyFill="1" applyBorder="1" applyAlignment="1">
      <alignment vertical="center"/>
    </xf>
    <xf numFmtId="165" fontId="9" fillId="2" borderId="0" xfId="4" applyNumberFormat="1" applyFont="1" applyFill="1" applyAlignment="1">
      <alignment vertical="center"/>
    </xf>
    <xf numFmtId="49" fontId="2" fillId="2" borderId="1" xfId="3" applyNumberFormat="1" applyFont="1" applyFill="1" applyBorder="1" applyAlignment="1">
      <alignment horizontal="center" vertical="center"/>
    </xf>
    <xf numFmtId="165" fontId="12" fillId="2" borderId="1" xfId="4" applyNumberFormat="1" applyFont="1" applyFill="1" applyBorder="1" applyAlignment="1">
      <alignment horizontal="right" vertical="center"/>
    </xf>
    <xf numFmtId="43" fontId="2" fillId="5" borderId="1" xfId="1" applyFont="1" applyFill="1" applyBorder="1" applyAlignment="1">
      <alignment horizontal="right" vertical="center"/>
    </xf>
    <xf numFmtId="49" fontId="12" fillId="2" borderId="3" xfId="3" applyNumberFormat="1" applyFont="1" applyFill="1" applyBorder="1" applyAlignment="1">
      <alignment horizontal="center" vertical="center"/>
    </xf>
    <xf numFmtId="0" fontId="2" fillId="2" borderId="1" xfId="3" quotePrefix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0" fontId="12" fillId="2" borderId="5" xfId="3" applyFont="1" applyFill="1" applyBorder="1" applyAlignment="1">
      <alignment horizontal="center" vertical="center"/>
    </xf>
    <xf numFmtId="165" fontId="12" fillId="2" borderId="5" xfId="1" applyNumberFormat="1" applyFont="1" applyFill="1" applyBorder="1" applyAlignment="1">
      <alignment horizontal="center" vertical="center"/>
    </xf>
    <xf numFmtId="166" fontId="12" fillId="2" borderId="9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vertical="center" wrapText="1"/>
    </xf>
    <xf numFmtId="166" fontId="2" fillId="2" borderId="1" xfId="1" applyNumberFormat="1" applyFont="1" applyFill="1" applyBorder="1" applyAlignment="1">
      <alignment horizontal="right" vertical="center"/>
    </xf>
    <xf numFmtId="49" fontId="12" fillId="2" borderId="7" xfId="3" applyNumberFormat="1" applyFont="1" applyFill="1" applyBorder="1" applyAlignment="1">
      <alignment horizontal="center" vertical="center" wrapText="1"/>
    </xf>
    <xf numFmtId="49" fontId="12" fillId="2" borderId="8" xfId="3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49" fontId="17" fillId="2" borderId="0" xfId="0" applyNumberFormat="1" applyFont="1" applyFill="1" applyAlignment="1">
      <alignment vertical="center"/>
    </xf>
    <xf numFmtId="0" fontId="12" fillId="2" borderId="1" xfId="3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165" fontId="18" fillId="2" borderId="0" xfId="3" applyNumberFormat="1" applyFont="1" applyFill="1" applyAlignment="1">
      <alignment vertical="center"/>
    </xf>
    <xf numFmtId="164" fontId="18" fillId="0" borderId="1" xfId="1" applyNumberFormat="1" applyFont="1" applyFill="1" applyBorder="1" applyAlignment="1">
      <alignment horizontal="right" vertical="center"/>
    </xf>
    <xf numFmtId="2" fontId="21" fillId="2" borderId="0" xfId="0" applyNumberFormat="1" applyFont="1" applyFill="1" applyAlignment="1">
      <alignment horizontal="center" vertical="center"/>
    </xf>
    <xf numFmtId="165" fontId="18" fillId="2" borderId="0" xfId="2" applyNumberFormat="1" applyFont="1" applyFill="1" applyAlignment="1">
      <alignment vertical="center"/>
    </xf>
    <xf numFmtId="0" fontId="5" fillId="2" borderId="3" xfId="3" applyFont="1" applyFill="1" applyBorder="1" applyAlignment="1">
      <alignment vertical="center"/>
    </xf>
    <xf numFmtId="0" fontId="5" fillId="2" borderId="4" xfId="3" applyFont="1" applyFill="1" applyBorder="1" applyAlignment="1">
      <alignment vertical="center"/>
    </xf>
    <xf numFmtId="0" fontId="5" fillId="2" borderId="11" xfId="3" applyFont="1" applyFill="1" applyBorder="1" applyAlignment="1">
      <alignment vertical="center"/>
    </xf>
    <xf numFmtId="165" fontId="18" fillId="4" borderId="1" xfId="4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right" vertical="center"/>
    </xf>
    <xf numFmtId="9" fontId="2" fillId="2" borderId="1" xfId="5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vertical="center"/>
    </xf>
    <xf numFmtId="0" fontId="13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65" fontId="14" fillId="2" borderId="0" xfId="1" applyNumberFormat="1" applyFont="1" applyFill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horizontal="center" vertical="center"/>
    </xf>
    <xf numFmtId="165" fontId="18" fillId="2" borderId="0" xfId="1" applyNumberFormat="1" applyFont="1" applyFill="1" applyAlignment="1">
      <alignment vertical="center"/>
    </xf>
    <xf numFmtId="165" fontId="9" fillId="2" borderId="0" xfId="1" applyNumberFormat="1" applyFont="1" applyFill="1" applyAlignment="1">
      <alignment vertical="center"/>
    </xf>
    <xf numFmtId="166" fontId="22" fillId="2" borderId="10" xfId="1" applyNumberFormat="1" applyFont="1" applyFill="1" applyBorder="1" applyAlignment="1">
      <alignment horizontal="center" vertical="center"/>
    </xf>
    <xf numFmtId="0" fontId="5" fillId="2" borderId="3" xfId="3" quotePrefix="1" applyFont="1" applyFill="1" applyBorder="1" applyAlignment="1">
      <alignment vertical="center"/>
    </xf>
    <xf numFmtId="2" fontId="15" fillId="2" borderId="0" xfId="0" applyNumberFormat="1" applyFont="1" applyFill="1" applyAlignment="1">
      <alignment vertical="center" wrapText="1"/>
    </xf>
    <xf numFmtId="2" fontId="14" fillId="2" borderId="0" xfId="0" applyNumberFormat="1" applyFont="1" applyFill="1" applyAlignment="1">
      <alignment vertical="center" wrapText="1"/>
    </xf>
    <xf numFmtId="2" fontId="16" fillId="2" borderId="0" xfId="0" applyNumberFormat="1" applyFont="1" applyFill="1" applyAlignment="1">
      <alignment vertical="center" wrapText="1"/>
    </xf>
    <xf numFmtId="0" fontId="9" fillId="2" borderId="0" xfId="2" applyFont="1" applyFill="1" applyAlignment="1">
      <alignment horizontal="center" vertical="center"/>
    </xf>
    <xf numFmtId="0" fontId="12" fillId="2" borderId="3" xfId="3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19" fillId="4" borderId="3" xfId="3" quotePrefix="1" applyFont="1" applyFill="1" applyBorder="1" applyAlignment="1">
      <alignment horizontal="left" vertical="center"/>
    </xf>
    <xf numFmtId="0" fontId="19" fillId="4" borderId="4" xfId="3" quotePrefix="1" applyFont="1" applyFill="1" applyBorder="1" applyAlignment="1">
      <alignment horizontal="left" vertical="center"/>
    </xf>
    <xf numFmtId="0" fontId="19" fillId="4" borderId="11" xfId="3" quotePrefix="1" applyFont="1" applyFill="1" applyBorder="1" applyAlignment="1">
      <alignment horizontal="left" vertical="center"/>
    </xf>
    <xf numFmtId="0" fontId="13" fillId="3" borderId="3" xfId="3" quotePrefix="1" applyFont="1" applyFill="1" applyBorder="1" applyAlignment="1">
      <alignment horizontal="left" vertical="center"/>
    </xf>
    <xf numFmtId="0" fontId="13" fillId="3" borderId="4" xfId="3" quotePrefix="1" applyFont="1" applyFill="1" applyBorder="1" applyAlignment="1">
      <alignment horizontal="left" vertical="center"/>
    </xf>
    <xf numFmtId="0" fontId="13" fillId="3" borderId="11" xfId="3" quotePrefix="1" applyFont="1" applyFill="1" applyBorder="1" applyAlignment="1">
      <alignment horizontal="left" vertical="center"/>
    </xf>
    <xf numFmtId="0" fontId="9" fillId="2" borderId="6" xfId="2" applyFont="1" applyFill="1" applyBorder="1" applyAlignment="1">
      <alignment horizontal="left" vertical="center" wrapText="1"/>
    </xf>
    <xf numFmtId="0" fontId="9" fillId="2" borderId="4" xfId="2" applyFont="1" applyFill="1" applyBorder="1" applyAlignment="1">
      <alignment horizontal="left" vertical="center" wrapText="1"/>
    </xf>
    <xf numFmtId="0" fontId="9" fillId="0" borderId="4" xfId="4" quotePrefix="1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2" fontId="15" fillId="2" borderId="0" xfId="0" applyNumberFormat="1" applyFont="1" applyFill="1" applyAlignment="1">
      <alignment horizontal="left" vertical="center" wrapText="1"/>
    </xf>
    <xf numFmtId="2" fontId="14" fillId="2" borderId="0" xfId="0" applyNumberFormat="1" applyFont="1" applyFill="1" applyAlignment="1">
      <alignment horizontal="left" vertical="center" wrapText="1"/>
    </xf>
    <xf numFmtId="2" fontId="16" fillId="2" borderId="0" xfId="0" applyNumberFormat="1" applyFont="1" applyFill="1" applyAlignment="1">
      <alignment horizontal="left" vertical="center" wrapText="1"/>
    </xf>
    <xf numFmtId="0" fontId="9" fillId="0" borderId="2" xfId="4" quotePrefix="1" applyNumberFormat="1" applyFont="1" applyBorder="1" applyAlignment="1">
      <alignment horizontal="center" vertical="center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_2" xfId="2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12</xdr:col>
      <xdr:colOff>457342</xdr:colOff>
      <xdr:row>2</xdr:row>
      <xdr:rowOff>254963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E411D-CC12-4277-91E9-9E956191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11689927" cy="849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8AE-36AE-4452-BFB0-B33B11D126C8}">
  <sheetPr>
    <tabColor rgb="FFFFC000"/>
  </sheetPr>
  <dimension ref="A1:U54"/>
  <sheetViews>
    <sheetView tabSelected="1" topLeftCell="B1" zoomScale="90" zoomScaleNormal="90" workbookViewId="0">
      <pane xSplit="2" ySplit="2" topLeftCell="D10" activePane="bottomRight" state="frozen"/>
      <selection activeCell="B1" sqref="B1"/>
      <selection pane="topRight" activeCell="E1" sqref="E1"/>
      <selection pane="bottomLeft" activeCell="B4" sqref="B4"/>
      <selection pane="bottomRight" activeCell="J15" sqref="J15"/>
    </sheetView>
  </sheetViews>
  <sheetFormatPr defaultColWidth="9.140625" defaultRowHeight="12.75"/>
  <cols>
    <col min="1" max="1" width="4.85546875" style="8" hidden="1" customWidth="1"/>
    <col min="2" max="2" width="6" style="28" customWidth="1"/>
    <col min="3" max="3" width="46.42578125" style="28" customWidth="1"/>
    <col min="4" max="4" width="16.28515625" style="11" customWidth="1"/>
    <col min="5" max="5" width="8.7109375" style="11" customWidth="1"/>
    <col min="6" max="6" width="9.85546875" style="31" customWidth="1"/>
    <col min="7" max="7" width="12.28515625" style="32" customWidth="1"/>
    <col min="8" max="8" width="11.28515625" style="31" customWidth="1"/>
    <col min="9" max="9" width="14" style="31" customWidth="1"/>
    <col min="10" max="10" width="16.42578125" style="28" customWidth="1"/>
    <col min="11" max="11" width="8" style="28" customWidth="1"/>
    <col min="12" max="12" width="15.140625" style="28" customWidth="1"/>
    <col min="13" max="13" width="16.5703125" style="28" customWidth="1"/>
    <col min="14" max="14" width="15.140625" style="28" customWidth="1"/>
    <col min="15" max="15" width="17" style="28" customWidth="1"/>
    <col min="16" max="16" width="14.28515625" style="77" customWidth="1"/>
    <col min="17" max="17" width="14.5703125" style="77" bestFit="1" customWidth="1"/>
    <col min="18" max="18" width="14.5703125" style="8" bestFit="1" customWidth="1"/>
    <col min="19" max="20" width="13.7109375" style="8" bestFit="1" customWidth="1"/>
    <col min="21" max="21" width="19.140625" style="8" bestFit="1" customWidth="1"/>
    <col min="22" max="16384" width="9.140625" style="8"/>
  </cols>
  <sheetData>
    <row r="1" spans="2:17" s="21" customFormat="1" ht="21" customHeight="1">
      <c r="B1" s="22"/>
      <c r="D1" s="23"/>
      <c r="E1" s="23"/>
      <c r="F1" s="23"/>
      <c r="G1" s="24"/>
      <c r="H1" s="23"/>
      <c r="I1" s="23"/>
      <c r="J1" s="1"/>
      <c r="K1" s="1"/>
      <c r="L1" s="1"/>
      <c r="M1" s="1"/>
      <c r="N1" s="1"/>
      <c r="O1" s="1"/>
      <c r="P1" s="74"/>
      <c r="Q1" s="74"/>
    </row>
    <row r="2" spans="2:17" s="21" customFormat="1" ht="26.25" customHeight="1">
      <c r="B2" s="25"/>
      <c r="C2" s="25"/>
      <c r="D2" s="100"/>
      <c r="E2" s="100"/>
      <c r="F2" s="100"/>
      <c r="G2" s="100"/>
      <c r="H2" s="100"/>
      <c r="I2" s="100"/>
      <c r="P2" s="74"/>
      <c r="Q2" s="74"/>
    </row>
    <row r="3" spans="2:17" s="21" customFormat="1" ht="22.15" customHeight="1">
      <c r="B3" s="25"/>
      <c r="C3" s="25"/>
      <c r="D3" s="19"/>
      <c r="E3" s="19"/>
      <c r="F3" s="19"/>
      <c r="G3" s="19"/>
      <c r="H3" s="19"/>
      <c r="I3" s="19"/>
      <c r="P3" s="74"/>
      <c r="Q3" s="74"/>
    </row>
    <row r="4" spans="2:17" s="54" customFormat="1" ht="28.9" customHeight="1">
      <c r="B4" s="101" t="s">
        <v>65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83"/>
      <c r="N4" s="83"/>
      <c r="P4" s="75"/>
      <c r="Q4" s="75"/>
    </row>
    <row r="5" spans="2:17" s="54" customFormat="1" ht="28.9" customHeight="1">
      <c r="B5" s="102" t="s">
        <v>66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84"/>
      <c r="N5" s="84"/>
      <c r="P5" s="75"/>
      <c r="Q5" s="75"/>
    </row>
    <row r="6" spans="2:17" s="54" customFormat="1" ht="28.9" customHeight="1">
      <c r="B6" s="102" t="s">
        <v>67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84"/>
      <c r="N6" s="84"/>
      <c r="P6" s="75"/>
      <c r="Q6" s="75"/>
    </row>
    <row r="7" spans="2:17" s="54" customFormat="1" ht="28.9" customHeight="1">
      <c r="B7" s="102" t="s">
        <v>68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84"/>
      <c r="N7" s="84"/>
      <c r="P7" s="75"/>
      <c r="Q7" s="75"/>
    </row>
    <row r="8" spans="2:17" s="55" customFormat="1" ht="28.9" customHeight="1">
      <c r="B8" s="103" t="s">
        <v>97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85"/>
      <c r="N8" s="85"/>
      <c r="P8" s="76"/>
      <c r="Q8" s="76"/>
    </row>
    <row r="9" spans="2:17" s="55" customFormat="1" ht="28.9" customHeight="1">
      <c r="B9" s="103" t="s">
        <v>98</v>
      </c>
      <c r="C9" s="103"/>
      <c r="D9" s="103"/>
      <c r="E9" s="103"/>
      <c r="F9" s="103"/>
      <c r="G9" s="103"/>
      <c r="H9" s="103"/>
      <c r="I9" s="103"/>
      <c r="J9" s="56"/>
      <c r="K9" s="56"/>
      <c r="L9" s="56"/>
      <c r="M9" s="56"/>
      <c r="N9" s="56"/>
      <c r="O9" s="56"/>
      <c r="P9" s="76"/>
      <c r="Q9" s="76"/>
    </row>
    <row r="10" spans="2:17" s="55" customFormat="1" ht="12.6" customHeight="1">
      <c r="B10" s="103"/>
      <c r="C10" s="103"/>
      <c r="D10" s="103"/>
      <c r="E10" s="103"/>
      <c r="F10" s="103"/>
      <c r="G10" s="103"/>
      <c r="H10" s="103"/>
      <c r="I10" s="103"/>
      <c r="J10" s="56"/>
      <c r="K10" s="56"/>
      <c r="L10" s="56"/>
      <c r="M10" s="56"/>
      <c r="N10" s="56"/>
      <c r="O10" s="56"/>
      <c r="P10" s="76"/>
      <c r="Q10" s="76"/>
    </row>
    <row r="11" spans="2:17" s="21" customFormat="1" ht="43.15" customHeight="1">
      <c r="B11" s="26"/>
      <c r="C11" s="26"/>
      <c r="D11" s="26"/>
      <c r="E11" s="61" t="s">
        <v>58</v>
      </c>
      <c r="F11" s="26"/>
      <c r="G11" s="27"/>
      <c r="H11" s="26"/>
      <c r="I11" s="26"/>
      <c r="J11" s="1"/>
      <c r="K11" s="1"/>
      <c r="L11" s="1"/>
      <c r="M11" s="1"/>
      <c r="N11" s="1"/>
      <c r="O11" s="1"/>
      <c r="P11" s="74"/>
      <c r="Q11" s="74"/>
    </row>
    <row r="12" spans="2:17" ht="38.450000000000003" customHeight="1">
      <c r="B12" s="28" t="s">
        <v>57</v>
      </c>
      <c r="D12" s="97" t="s">
        <v>99</v>
      </c>
      <c r="E12" s="97"/>
      <c r="F12" s="97"/>
      <c r="G12" s="97"/>
      <c r="H12" s="29"/>
      <c r="I12" s="30" t="s">
        <v>0</v>
      </c>
      <c r="J12" s="104" t="s">
        <v>100</v>
      </c>
      <c r="K12" s="104"/>
      <c r="L12" s="1"/>
      <c r="M12" s="1"/>
      <c r="N12" s="1"/>
      <c r="O12" s="8"/>
    </row>
    <row r="13" spans="2:17" ht="38.450000000000003" customHeight="1">
      <c r="B13" s="28" t="s">
        <v>1</v>
      </c>
      <c r="D13" s="97" t="s">
        <v>103</v>
      </c>
      <c r="E13" s="97"/>
      <c r="F13" s="97"/>
      <c r="G13" s="97"/>
      <c r="H13" s="29"/>
      <c r="I13" s="30" t="s">
        <v>2</v>
      </c>
      <c r="J13" s="99" t="s">
        <v>102</v>
      </c>
      <c r="K13" s="99"/>
      <c r="L13" s="1"/>
      <c r="M13" s="1"/>
      <c r="N13" s="1"/>
    </row>
    <row r="14" spans="2:17" ht="38.450000000000003" customHeight="1">
      <c r="B14" s="28" t="s">
        <v>3</v>
      </c>
      <c r="D14" s="97" t="s">
        <v>101</v>
      </c>
      <c r="E14" s="97"/>
      <c r="F14" s="97"/>
      <c r="G14" s="97"/>
      <c r="H14" s="29"/>
      <c r="I14" s="30" t="s">
        <v>4</v>
      </c>
      <c r="J14" s="99" t="s">
        <v>104</v>
      </c>
      <c r="K14" s="99"/>
      <c r="L14" s="1"/>
      <c r="M14" s="1"/>
      <c r="N14" s="1"/>
    </row>
    <row r="15" spans="2:17" ht="38.450000000000003" customHeight="1">
      <c r="B15" s="28" t="s">
        <v>56</v>
      </c>
      <c r="D15" s="98" t="s">
        <v>101</v>
      </c>
      <c r="E15" s="98"/>
      <c r="F15" s="98"/>
      <c r="G15" s="98"/>
      <c r="H15" s="29"/>
      <c r="I15" s="29"/>
      <c r="J15" s="29"/>
      <c r="K15" s="29"/>
      <c r="L15" s="29"/>
      <c r="M15" s="29"/>
      <c r="N15" s="29"/>
      <c r="O15" s="29"/>
    </row>
    <row r="16" spans="2:17" ht="12.75" customHeight="1">
      <c r="D16" s="2"/>
      <c r="E16" s="2"/>
    </row>
    <row r="17" spans="1:17" s="3" customFormat="1" ht="78" customHeight="1">
      <c r="B17" s="4" t="s">
        <v>5</v>
      </c>
      <c r="C17" s="43" t="s">
        <v>6</v>
      </c>
      <c r="D17" s="4" t="s">
        <v>7</v>
      </c>
      <c r="E17" s="5" t="s">
        <v>8</v>
      </c>
      <c r="F17" s="6" t="s">
        <v>9</v>
      </c>
      <c r="G17" s="13" t="s">
        <v>29</v>
      </c>
      <c r="H17" s="6" t="s">
        <v>30</v>
      </c>
      <c r="I17" s="6" t="s">
        <v>55</v>
      </c>
      <c r="J17" s="5" t="s">
        <v>62</v>
      </c>
      <c r="K17" s="5" t="s">
        <v>60</v>
      </c>
      <c r="L17" s="6" t="s">
        <v>59</v>
      </c>
      <c r="M17" s="5" t="s">
        <v>61</v>
      </c>
      <c r="N17" s="52" t="s">
        <v>41</v>
      </c>
      <c r="O17" s="53" t="s">
        <v>28</v>
      </c>
      <c r="P17" s="78"/>
      <c r="Q17" s="78"/>
    </row>
    <row r="18" spans="1:17" ht="20.25" customHeight="1">
      <c r="B18" s="20" t="s">
        <v>10</v>
      </c>
      <c r="C18" s="20" t="s">
        <v>11</v>
      </c>
      <c r="D18" s="20" t="s">
        <v>12</v>
      </c>
      <c r="E18" s="7" t="s">
        <v>13</v>
      </c>
      <c r="F18" s="7">
        <v>5</v>
      </c>
      <c r="G18" s="14" t="s">
        <v>31</v>
      </c>
      <c r="H18" s="7" t="s">
        <v>32</v>
      </c>
      <c r="I18" s="7" t="s">
        <v>33</v>
      </c>
      <c r="J18" s="7" t="s">
        <v>34</v>
      </c>
      <c r="K18" s="7" t="s">
        <v>49</v>
      </c>
      <c r="L18" s="7" t="s">
        <v>71</v>
      </c>
      <c r="M18" s="7" t="s">
        <v>72</v>
      </c>
      <c r="N18" s="7" t="s">
        <v>73</v>
      </c>
      <c r="O18" s="7" t="s">
        <v>74</v>
      </c>
      <c r="P18" s="78"/>
      <c r="Q18" s="78"/>
    </row>
    <row r="19" spans="1:17" ht="28.15" customHeight="1">
      <c r="A19" s="8" t="s">
        <v>14</v>
      </c>
      <c r="B19" s="40" t="s">
        <v>10</v>
      </c>
      <c r="C19" s="45" t="s">
        <v>15</v>
      </c>
      <c r="D19" s="15" t="s">
        <v>39</v>
      </c>
      <c r="E19" s="15" t="s">
        <v>16</v>
      </c>
      <c r="F19" s="16"/>
      <c r="G19" s="42"/>
      <c r="H19" s="67">
        <f>SUM(F19:G19)</f>
        <v>0</v>
      </c>
      <c r="I19" s="17">
        <v>74800</v>
      </c>
      <c r="J19" s="68">
        <f t="shared" ref="J19:J37" si="0">I19*F19</f>
        <v>0</v>
      </c>
      <c r="K19" s="69">
        <v>0.08</v>
      </c>
      <c r="L19" s="68">
        <f>J19*K19</f>
        <v>0</v>
      </c>
      <c r="M19" s="41">
        <f>J19+L19</f>
        <v>0</v>
      </c>
      <c r="N19" s="51">
        <v>9.1</v>
      </c>
      <c r="O19" s="51">
        <f t="shared" ref="O19:O37" si="1">H19*N19</f>
        <v>0</v>
      </c>
      <c r="P19" s="78"/>
      <c r="Q19" s="78"/>
    </row>
    <row r="20" spans="1:17" ht="28.15" customHeight="1">
      <c r="A20" s="8" t="s">
        <v>17</v>
      </c>
      <c r="B20" s="44" t="s">
        <v>11</v>
      </c>
      <c r="C20" s="45" t="s">
        <v>18</v>
      </c>
      <c r="D20" s="15" t="s">
        <v>39</v>
      </c>
      <c r="E20" s="15" t="s">
        <v>16</v>
      </c>
      <c r="F20" s="16"/>
      <c r="G20" s="42"/>
      <c r="H20" s="67">
        <f t="shared" ref="H20:H37" si="2">SUM(F20:G20)</f>
        <v>0</v>
      </c>
      <c r="I20" s="17">
        <v>83300</v>
      </c>
      <c r="J20" s="68">
        <f t="shared" si="0"/>
        <v>0</v>
      </c>
      <c r="K20" s="69">
        <v>0.08</v>
      </c>
      <c r="L20" s="68">
        <f>J20*K20</f>
        <v>0</v>
      </c>
      <c r="M20" s="41">
        <f t="shared" ref="M20:M29" si="3">J20+L20</f>
        <v>0</v>
      </c>
      <c r="N20" s="51">
        <v>12.8</v>
      </c>
      <c r="O20" s="51">
        <f t="shared" si="1"/>
        <v>0</v>
      </c>
      <c r="P20" s="78"/>
      <c r="Q20" s="78"/>
    </row>
    <row r="21" spans="1:17" ht="28.15" customHeight="1">
      <c r="A21" s="8" t="s">
        <v>19</v>
      </c>
      <c r="B21" s="40" t="s">
        <v>12</v>
      </c>
      <c r="C21" s="45" t="s">
        <v>20</v>
      </c>
      <c r="D21" s="15" t="s">
        <v>38</v>
      </c>
      <c r="E21" s="15" t="s">
        <v>16</v>
      </c>
      <c r="F21" s="16"/>
      <c r="G21" s="42"/>
      <c r="H21" s="67">
        <f t="shared" si="2"/>
        <v>0</v>
      </c>
      <c r="I21" s="17">
        <v>83300</v>
      </c>
      <c r="J21" s="68">
        <f t="shared" si="0"/>
        <v>0</v>
      </c>
      <c r="K21" s="69">
        <v>0.08</v>
      </c>
      <c r="L21" s="68">
        <f t="shared" ref="L21:L29" si="4">J21*K21</f>
        <v>0</v>
      </c>
      <c r="M21" s="41">
        <f t="shared" si="3"/>
        <v>0</v>
      </c>
      <c r="N21" s="51">
        <v>19.2</v>
      </c>
      <c r="O21" s="51">
        <f t="shared" si="1"/>
        <v>0</v>
      </c>
      <c r="P21" s="78"/>
      <c r="Q21" s="78"/>
    </row>
    <row r="22" spans="1:17" ht="28.15" customHeight="1">
      <c r="A22" s="8" t="s">
        <v>19</v>
      </c>
      <c r="B22" s="44" t="s">
        <v>13</v>
      </c>
      <c r="C22" s="45" t="s">
        <v>36</v>
      </c>
      <c r="D22" s="15" t="s">
        <v>37</v>
      </c>
      <c r="E22" s="15" t="s">
        <v>16</v>
      </c>
      <c r="F22" s="16"/>
      <c r="G22" s="42"/>
      <c r="H22" s="67">
        <f t="shared" si="2"/>
        <v>0</v>
      </c>
      <c r="I22" s="60">
        <v>117269</v>
      </c>
      <c r="J22" s="68">
        <f t="shared" si="0"/>
        <v>0</v>
      </c>
      <c r="K22" s="69">
        <v>0.08</v>
      </c>
      <c r="L22" s="68">
        <f t="shared" si="4"/>
        <v>0</v>
      </c>
      <c r="M22" s="41">
        <f t="shared" si="3"/>
        <v>0</v>
      </c>
      <c r="N22" s="51">
        <v>9.9</v>
      </c>
      <c r="O22" s="51">
        <f t="shared" si="1"/>
        <v>0</v>
      </c>
      <c r="P22" s="78"/>
      <c r="Q22" s="78"/>
    </row>
    <row r="23" spans="1:17" ht="28.15" customHeight="1">
      <c r="B23" s="40" t="s">
        <v>40</v>
      </c>
      <c r="C23" s="45" t="s">
        <v>42</v>
      </c>
      <c r="D23" s="15" t="s">
        <v>39</v>
      </c>
      <c r="E23" s="15" t="s">
        <v>16</v>
      </c>
      <c r="F23" s="16"/>
      <c r="G23" s="42"/>
      <c r="H23" s="67">
        <f t="shared" si="2"/>
        <v>0</v>
      </c>
      <c r="I23" s="17">
        <v>70550</v>
      </c>
      <c r="J23" s="68">
        <f t="shared" si="0"/>
        <v>0</v>
      </c>
      <c r="K23" s="69">
        <v>0.08</v>
      </c>
      <c r="L23" s="68">
        <f t="shared" si="4"/>
        <v>0</v>
      </c>
      <c r="M23" s="41">
        <f t="shared" si="3"/>
        <v>0</v>
      </c>
      <c r="N23" s="51">
        <v>12.8</v>
      </c>
      <c r="O23" s="51">
        <f t="shared" si="1"/>
        <v>0</v>
      </c>
      <c r="P23" s="78"/>
      <c r="Q23" s="78"/>
    </row>
    <row r="24" spans="1:17" ht="28.15" customHeight="1">
      <c r="A24" s="8" t="s">
        <v>21</v>
      </c>
      <c r="B24" s="44" t="s">
        <v>31</v>
      </c>
      <c r="C24" s="46" t="s">
        <v>22</v>
      </c>
      <c r="D24" s="15" t="s">
        <v>23</v>
      </c>
      <c r="E24" s="15" t="s">
        <v>24</v>
      </c>
      <c r="F24" s="16"/>
      <c r="G24" s="42"/>
      <c r="H24" s="67">
        <f t="shared" ref="H24:H26" si="5">SUM(F24:G24)</f>
        <v>0</v>
      </c>
      <c r="I24" s="17">
        <v>41771</v>
      </c>
      <c r="J24" s="68">
        <f t="shared" si="0"/>
        <v>0</v>
      </c>
      <c r="K24" s="69">
        <v>0.08</v>
      </c>
      <c r="L24" s="68">
        <f t="shared" si="4"/>
        <v>0</v>
      </c>
      <c r="M24" s="41">
        <f t="shared" si="3"/>
        <v>0</v>
      </c>
      <c r="N24" s="51">
        <v>20.399999999999999</v>
      </c>
      <c r="O24" s="51">
        <f t="shared" si="1"/>
        <v>0</v>
      </c>
      <c r="P24" s="78"/>
      <c r="Q24" s="78"/>
    </row>
    <row r="25" spans="1:17" ht="28.15" customHeight="1">
      <c r="B25" s="40" t="s">
        <v>32</v>
      </c>
      <c r="C25" s="46" t="s">
        <v>35</v>
      </c>
      <c r="D25" s="15" t="s">
        <v>23</v>
      </c>
      <c r="E25" s="15" t="s">
        <v>24</v>
      </c>
      <c r="F25" s="16"/>
      <c r="G25" s="42"/>
      <c r="H25" s="67">
        <f t="shared" si="5"/>
        <v>0</v>
      </c>
      <c r="I25" s="17">
        <v>41771</v>
      </c>
      <c r="J25" s="68">
        <f t="shared" si="0"/>
        <v>0</v>
      </c>
      <c r="K25" s="69">
        <v>0.08</v>
      </c>
      <c r="L25" s="68">
        <f t="shared" si="4"/>
        <v>0</v>
      </c>
      <c r="M25" s="41">
        <f t="shared" si="3"/>
        <v>0</v>
      </c>
      <c r="N25" s="50">
        <v>19.600000000000001</v>
      </c>
      <c r="O25" s="51">
        <f t="shared" si="1"/>
        <v>0</v>
      </c>
      <c r="P25" s="78"/>
      <c r="Q25" s="78"/>
    </row>
    <row r="26" spans="1:17" ht="28.15" customHeight="1">
      <c r="B26" s="44" t="s">
        <v>33</v>
      </c>
      <c r="C26" s="45" t="s">
        <v>43</v>
      </c>
      <c r="D26" s="15" t="s">
        <v>23</v>
      </c>
      <c r="E26" s="15" t="s">
        <v>24</v>
      </c>
      <c r="F26" s="16"/>
      <c r="G26" s="42"/>
      <c r="H26" s="67">
        <f t="shared" si="5"/>
        <v>0</v>
      </c>
      <c r="I26" s="17">
        <v>41771</v>
      </c>
      <c r="J26" s="68">
        <f t="shared" si="0"/>
        <v>0</v>
      </c>
      <c r="K26" s="69">
        <v>0.08</v>
      </c>
      <c r="L26" s="68">
        <f t="shared" si="4"/>
        <v>0</v>
      </c>
      <c r="M26" s="41">
        <f t="shared" si="3"/>
        <v>0</v>
      </c>
      <c r="N26" s="50">
        <v>19.600000000000001</v>
      </c>
      <c r="O26" s="51">
        <f t="shared" si="1"/>
        <v>0</v>
      </c>
      <c r="P26" s="78"/>
      <c r="Q26" s="78"/>
    </row>
    <row r="27" spans="1:17" ht="28.15" customHeight="1">
      <c r="A27" s="8" t="s">
        <v>21</v>
      </c>
      <c r="B27" s="40" t="s">
        <v>48</v>
      </c>
      <c r="C27" s="45" t="s">
        <v>52</v>
      </c>
      <c r="D27" s="15" t="s">
        <v>51</v>
      </c>
      <c r="E27" s="15" t="s">
        <v>16</v>
      </c>
      <c r="F27" s="16"/>
      <c r="G27" s="42"/>
      <c r="H27" s="67">
        <f t="shared" si="2"/>
        <v>0</v>
      </c>
      <c r="I27" s="16">
        <v>283333</v>
      </c>
      <c r="J27" s="68">
        <f t="shared" si="0"/>
        <v>0</v>
      </c>
      <c r="K27" s="69">
        <v>0.1</v>
      </c>
      <c r="L27" s="68">
        <f t="shared" si="4"/>
        <v>0</v>
      </c>
      <c r="M27" s="41">
        <f t="shared" si="3"/>
        <v>0</v>
      </c>
      <c r="N27" s="51">
        <v>6.6</v>
      </c>
      <c r="O27" s="51">
        <f t="shared" si="1"/>
        <v>0</v>
      </c>
      <c r="P27" s="78"/>
      <c r="Q27" s="78"/>
    </row>
    <row r="28" spans="1:17" ht="28.15" customHeight="1">
      <c r="B28" s="44" t="s">
        <v>49</v>
      </c>
      <c r="C28" s="45" t="s">
        <v>53</v>
      </c>
      <c r="D28" s="15" t="s">
        <v>51</v>
      </c>
      <c r="E28" s="15" t="s">
        <v>16</v>
      </c>
      <c r="F28" s="16"/>
      <c r="G28" s="42"/>
      <c r="H28" s="67">
        <f t="shared" si="2"/>
        <v>0</v>
      </c>
      <c r="I28" s="16">
        <v>283333</v>
      </c>
      <c r="J28" s="68">
        <f t="shared" si="0"/>
        <v>0</v>
      </c>
      <c r="K28" s="69">
        <v>0.1</v>
      </c>
      <c r="L28" s="68">
        <f t="shared" si="4"/>
        <v>0</v>
      </c>
      <c r="M28" s="41">
        <f t="shared" si="3"/>
        <v>0</v>
      </c>
      <c r="N28" s="51">
        <v>6.6</v>
      </c>
      <c r="O28" s="51">
        <f t="shared" si="1"/>
        <v>0</v>
      </c>
      <c r="P28" s="78"/>
      <c r="Q28" s="78"/>
    </row>
    <row r="29" spans="1:17" ht="28.15" customHeight="1">
      <c r="B29" s="40" t="s">
        <v>50</v>
      </c>
      <c r="C29" s="45" t="s">
        <v>54</v>
      </c>
      <c r="D29" s="15" t="s">
        <v>51</v>
      </c>
      <c r="E29" s="15" t="s">
        <v>16</v>
      </c>
      <c r="F29" s="16"/>
      <c r="G29" s="42"/>
      <c r="H29" s="67">
        <f t="shared" si="2"/>
        <v>0</v>
      </c>
      <c r="I29" s="16">
        <v>283333</v>
      </c>
      <c r="J29" s="68">
        <f t="shared" si="0"/>
        <v>0</v>
      </c>
      <c r="K29" s="69">
        <v>0.1</v>
      </c>
      <c r="L29" s="68">
        <f t="shared" si="4"/>
        <v>0</v>
      </c>
      <c r="M29" s="41">
        <f t="shared" si="3"/>
        <v>0</v>
      </c>
      <c r="N29" s="51">
        <v>6.6</v>
      </c>
      <c r="O29" s="51">
        <f t="shared" si="1"/>
        <v>0</v>
      </c>
    </row>
    <row r="30" spans="1:17" ht="28.15" customHeight="1">
      <c r="B30" s="40" t="s">
        <v>75</v>
      </c>
      <c r="C30" s="45" t="s">
        <v>82</v>
      </c>
      <c r="D30" s="15" t="s">
        <v>90</v>
      </c>
      <c r="E30" s="15" t="s">
        <v>16</v>
      </c>
      <c r="F30" s="16"/>
      <c r="G30" s="42"/>
      <c r="H30" s="67">
        <f t="shared" si="2"/>
        <v>0</v>
      </c>
      <c r="I30" s="16">
        <v>87125</v>
      </c>
      <c r="J30" s="68">
        <f t="shared" si="0"/>
        <v>0</v>
      </c>
      <c r="K30" s="69">
        <v>0.08</v>
      </c>
      <c r="L30" s="68">
        <f t="shared" ref="L30:L37" si="6">J30*K30</f>
        <v>0</v>
      </c>
      <c r="M30" s="41">
        <f t="shared" ref="M30:M37" si="7">J30+L30</f>
        <v>0</v>
      </c>
      <c r="N30" s="51">
        <v>20.803999999999998</v>
      </c>
      <c r="O30" s="51">
        <f t="shared" si="1"/>
        <v>0</v>
      </c>
    </row>
    <row r="31" spans="1:17" ht="28.15" customHeight="1">
      <c r="B31" s="40" t="s">
        <v>73</v>
      </c>
      <c r="C31" s="45" t="s">
        <v>83</v>
      </c>
      <c r="D31" s="15" t="s">
        <v>90</v>
      </c>
      <c r="E31" s="15" t="s">
        <v>16</v>
      </c>
      <c r="F31" s="16">
        <v>68</v>
      </c>
      <c r="G31" s="42">
        <f>F31/2</f>
        <v>34</v>
      </c>
      <c r="H31" s="67">
        <f t="shared" si="2"/>
        <v>102</v>
      </c>
      <c r="I31" s="16">
        <v>93500</v>
      </c>
      <c r="J31" s="68">
        <f t="shared" si="0"/>
        <v>6358000</v>
      </c>
      <c r="K31" s="69">
        <v>0.08</v>
      </c>
      <c r="L31" s="68">
        <f t="shared" si="6"/>
        <v>508640</v>
      </c>
      <c r="M31" s="41">
        <f t="shared" si="7"/>
        <v>6866640</v>
      </c>
      <c r="N31" s="51">
        <v>20.85</v>
      </c>
      <c r="O31" s="51">
        <f t="shared" si="1"/>
        <v>2126.7000000000003</v>
      </c>
    </row>
    <row r="32" spans="1:17" ht="28.15" customHeight="1">
      <c r="B32" s="40" t="s">
        <v>76</v>
      </c>
      <c r="C32" s="45" t="s">
        <v>84</v>
      </c>
      <c r="D32" s="15" t="s">
        <v>91</v>
      </c>
      <c r="E32" s="15" t="s">
        <v>24</v>
      </c>
      <c r="F32" s="16"/>
      <c r="G32" s="42"/>
      <c r="H32" s="67">
        <f t="shared" si="2"/>
        <v>0</v>
      </c>
      <c r="I32" s="16">
        <v>21781.25</v>
      </c>
      <c r="J32" s="68">
        <f t="shared" si="0"/>
        <v>0</v>
      </c>
      <c r="K32" s="69">
        <v>0.08</v>
      </c>
      <c r="L32" s="68">
        <f t="shared" si="6"/>
        <v>0</v>
      </c>
      <c r="M32" s="41">
        <f t="shared" si="7"/>
        <v>0</v>
      </c>
      <c r="N32" s="51">
        <v>5.1050000000000004</v>
      </c>
      <c r="O32" s="51">
        <f t="shared" si="1"/>
        <v>0</v>
      </c>
    </row>
    <row r="33" spans="2:21" ht="28.15" customHeight="1">
      <c r="B33" s="40" t="s">
        <v>77</v>
      </c>
      <c r="C33" s="45" t="s">
        <v>85</v>
      </c>
      <c r="D33" s="15" t="s">
        <v>91</v>
      </c>
      <c r="E33" s="15" t="s">
        <v>24</v>
      </c>
      <c r="F33" s="16"/>
      <c r="G33" s="42"/>
      <c r="H33" s="67">
        <f t="shared" si="2"/>
        <v>0</v>
      </c>
      <c r="I33" s="16">
        <v>23375</v>
      </c>
      <c r="J33" s="68">
        <f t="shared" si="0"/>
        <v>0</v>
      </c>
      <c r="K33" s="69">
        <v>0.08</v>
      </c>
      <c r="L33" s="68">
        <f t="shared" si="6"/>
        <v>0</v>
      </c>
      <c r="M33" s="41">
        <f t="shared" si="7"/>
        <v>0</v>
      </c>
      <c r="N33" s="51">
        <v>5.1120000000000001</v>
      </c>
      <c r="O33" s="51">
        <f t="shared" si="1"/>
        <v>0</v>
      </c>
    </row>
    <row r="34" spans="2:21" ht="28.15" customHeight="1">
      <c r="B34" s="40" t="s">
        <v>78</v>
      </c>
      <c r="C34" s="45" t="s">
        <v>86</v>
      </c>
      <c r="D34" s="15" t="s">
        <v>92</v>
      </c>
      <c r="E34" s="15" t="s">
        <v>16</v>
      </c>
      <c r="F34" s="16"/>
      <c r="G34" s="42"/>
      <c r="H34" s="67">
        <f t="shared" si="2"/>
        <v>0</v>
      </c>
      <c r="I34" s="16">
        <v>53125</v>
      </c>
      <c r="J34" s="68">
        <f t="shared" si="0"/>
        <v>0</v>
      </c>
      <c r="K34" s="69">
        <v>0.08</v>
      </c>
      <c r="L34" s="68">
        <f t="shared" si="6"/>
        <v>0</v>
      </c>
      <c r="M34" s="41">
        <f t="shared" si="7"/>
        <v>0</v>
      </c>
      <c r="N34" s="51">
        <v>6.65</v>
      </c>
      <c r="O34" s="51">
        <f t="shared" si="1"/>
        <v>0</v>
      </c>
    </row>
    <row r="35" spans="2:21" ht="28.15" customHeight="1">
      <c r="B35" s="40" t="s">
        <v>79</v>
      </c>
      <c r="C35" s="45" t="s">
        <v>87</v>
      </c>
      <c r="D35" s="15" t="s">
        <v>93</v>
      </c>
      <c r="E35" s="15" t="s">
        <v>96</v>
      </c>
      <c r="F35" s="16"/>
      <c r="G35" s="42"/>
      <c r="H35" s="67">
        <f t="shared" si="2"/>
        <v>0</v>
      </c>
      <c r="I35" s="16">
        <v>53125</v>
      </c>
      <c r="J35" s="68">
        <f t="shared" si="0"/>
        <v>0</v>
      </c>
      <c r="K35" s="69">
        <v>0.08</v>
      </c>
      <c r="L35" s="68">
        <f t="shared" si="6"/>
        <v>0</v>
      </c>
      <c r="M35" s="41">
        <f t="shared" si="7"/>
        <v>0</v>
      </c>
      <c r="N35" s="51">
        <v>6.4</v>
      </c>
      <c r="O35" s="51">
        <f t="shared" si="1"/>
        <v>0</v>
      </c>
    </row>
    <row r="36" spans="2:21" ht="28.15" customHeight="1">
      <c r="B36" s="40" t="s">
        <v>80</v>
      </c>
      <c r="C36" s="45" t="s">
        <v>88</v>
      </c>
      <c r="D36" s="15" t="s">
        <v>94</v>
      </c>
      <c r="E36" s="15" t="s">
        <v>96</v>
      </c>
      <c r="F36" s="16"/>
      <c r="G36" s="42"/>
      <c r="H36" s="67">
        <f t="shared" si="2"/>
        <v>0</v>
      </c>
      <c r="I36" s="16">
        <v>26562.5</v>
      </c>
      <c r="J36" s="68">
        <f t="shared" si="0"/>
        <v>0</v>
      </c>
      <c r="K36" s="69">
        <v>0.08</v>
      </c>
      <c r="L36" s="68">
        <f t="shared" si="6"/>
        <v>0</v>
      </c>
      <c r="M36" s="41">
        <f t="shared" si="7"/>
        <v>0</v>
      </c>
      <c r="N36" s="51">
        <v>3.2</v>
      </c>
      <c r="O36" s="51">
        <f t="shared" si="1"/>
        <v>0</v>
      </c>
    </row>
    <row r="37" spans="2:21" ht="28.15" customHeight="1">
      <c r="B37" s="40" t="s">
        <v>81</v>
      </c>
      <c r="C37" s="45" t="s">
        <v>89</v>
      </c>
      <c r="D37" s="15" t="s">
        <v>95</v>
      </c>
      <c r="E37" s="15" t="s">
        <v>96</v>
      </c>
      <c r="F37" s="16"/>
      <c r="G37" s="42"/>
      <c r="H37" s="67">
        <f t="shared" si="2"/>
        <v>0</v>
      </c>
      <c r="I37" s="16">
        <v>13281.25</v>
      </c>
      <c r="J37" s="68">
        <f t="shared" si="0"/>
        <v>0</v>
      </c>
      <c r="K37" s="69">
        <v>0.08</v>
      </c>
      <c r="L37" s="68">
        <f t="shared" si="6"/>
        <v>0</v>
      </c>
      <c r="M37" s="41">
        <f t="shared" si="7"/>
        <v>0</v>
      </c>
      <c r="N37" s="51">
        <v>1.6</v>
      </c>
      <c r="O37" s="51">
        <f t="shared" si="1"/>
        <v>0</v>
      </c>
    </row>
    <row r="38" spans="2:21" s="3" customFormat="1" ht="21.75" customHeight="1">
      <c r="B38" s="87" t="s">
        <v>25</v>
      </c>
      <c r="C38" s="88"/>
      <c r="D38" s="57"/>
      <c r="E38" s="18"/>
      <c r="F38" s="12">
        <f>SUM(F19:F29)</f>
        <v>0</v>
      </c>
      <c r="G38" s="12">
        <f>SUM(G19:G29)</f>
        <v>0</v>
      </c>
      <c r="H38" s="12">
        <f>SUM(H19:H29)</f>
        <v>0</v>
      </c>
      <c r="I38" s="47"/>
      <c r="J38" s="48"/>
      <c r="K38" s="48"/>
      <c r="L38" s="48"/>
      <c r="M38" s="48">
        <f>SUM(M19:M37)</f>
        <v>6866640</v>
      </c>
      <c r="N38" s="49"/>
      <c r="O38" s="81">
        <f>SUM(O19:O37)</f>
        <v>2126.7000000000003</v>
      </c>
      <c r="P38" s="78"/>
      <c r="Q38" s="78"/>
    </row>
    <row r="39" spans="2:21" ht="21.75" customHeight="1">
      <c r="B39" s="82" t="s">
        <v>64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  <c r="M39" s="33">
        <v>0</v>
      </c>
      <c r="N39" s="35"/>
      <c r="O39" s="34"/>
      <c r="P39" s="78"/>
      <c r="Q39" s="78"/>
      <c r="R39" s="3"/>
      <c r="S39" s="3"/>
      <c r="T39" s="3"/>
      <c r="U39" s="3"/>
    </row>
    <row r="40" spans="2:21" ht="21.75" customHeight="1">
      <c r="B40" s="63" t="s">
        <v>44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  <c r="M40" s="33">
        <v>0</v>
      </c>
      <c r="N40" s="35"/>
      <c r="O40" s="34"/>
      <c r="P40" s="78"/>
      <c r="Q40" s="78"/>
      <c r="R40" s="3"/>
      <c r="S40" s="3"/>
      <c r="T40" s="3"/>
      <c r="U40" s="3"/>
    </row>
    <row r="41" spans="2:21" ht="21.75" customHeight="1">
      <c r="B41" s="63" t="s">
        <v>45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  <c r="M41" s="33">
        <v>0</v>
      </c>
      <c r="N41" s="35"/>
      <c r="O41" s="34"/>
      <c r="P41" s="78"/>
      <c r="Q41" s="78"/>
      <c r="R41" s="3"/>
      <c r="S41" s="3"/>
      <c r="T41" s="3"/>
      <c r="U41" s="3"/>
    </row>
    <row r="42" spans="2:21" ht="21.75" customHeight="1">
      <c r="B42" s="63" t="s">
        <v>46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  <c r="M42" s="33">
        <v>0</v>
      </c>
      <c r="N42" s="35"/>
      <c r="O42" s="34"/>
      <c r="P42" s="78"/>
      <c r="Q42" s="78"/>
      <c r="R42" s="3"/>
      <c r="S42" s="3"/>
      <c r="T42" s="3"/>
      <c r="U42" s="3"/>
    </row>
    <row r="43" spans="2:21" ht="21.75" customHeight="1">
      <c r="B43" s="63" t="s">
        <v>47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  <c r="M43" s="33">
        <v>0</v>
      </c>
      <c r="N43" s="35"/>
      <c r="O43" s="34"/>
      <c r="P43" s="78"/>
      <c r="Q43" s="78"/>
      <c r="R43" s="3"/>
      <c r="S43" s="3"/>
      <c r="T43" s="3"/>
      <c r="U43" s="3"/>
    </row>
    <row r="44" spans="2:21" s="58" customFormat="1" ht="21.75" customHeight="1">
      <c r="B44" s="91" t="s">
        <v>69</v>
      </c>
      <c r="C44" s="92"/>
      <c r="D44" s="92"/>
      <c r="E44" s="92"/>
      <c r="F44" s="92"/>
      <c r="G44" s="92"/>
      <c r="H44" s="92"/>
      <c r="I44" s="92"/>
      <c r="J44" s="92"/>
      <c r="K44" s="92"/>
      <c r="L44" s="93"/>
      <c r="M44" s="66"/>
      <c r="N44" s="59"/>
      <c r="O44" s="59"/>
      <c r="P44" s="79"/>
      <c r="Q44" s="79"/>
      <c r="R44" s="62"/>
    </row>
    <row r="45" spans="2:21" ht="21" customHeight="1">
      <c r="B45" s="94" t="s">
        <v>70</v>
      </c>
      <c r="C45" s="95"/>
      <c r="D45" s="95"/>
      <c r="E45" s="95"/>
      <c r="F45" s="95"/>
      <c r="G45" s="95"/>
      <c r="H45" s="95"/>
      <c r="I45" s="95"/>
      <c r="J45" s="95"/>
      <c r="K45" s="95"/>
      <c r="L45" s="96"/>
      <c r="M45" s="37">
        <f>M38-SUM(M39:M43)+M44</f>
        <v>6866640</v>
      </c>
      <c r="N45" s="35"/>
      <c r="O45" s="10"/>
    </row>
    <row r="46" spans="2:21" s="28" customFormat="1" ht="25.5" customHeight="1">
      <c r="B46" s="89" t="s">
        <v>26</v>
      </c>
      <c r="C46" s="89"/>
      <c r="G46" s="32"/>
      <c r="I46" s="89"/>
      <c r="J46" s="89"/>
      <c r="K46" s="70"/>
      <c r="L46" s="70" t="s">
        <v>63</v>
      </c>
      <c r="N46" s="70"/>
      <c r="O46" s="71"/>
      <c r="P46" s="80"/>
      <c r="Q46" s="80"/>
    </row>
    <row r="47" spans="2:21" s="28" customFormat="1" ht="17.25" customHeight="1">
      <c r="B47" s="90" t="s">
        <v>27</v>
      </c>
      <c r="C47" s="90"/>
      <c r="G47" s="32"/>
      <c r="I47" s="90"/>
      <c r="J47" s="90"/>
      <c r="K47" s="72"/>
      <c r="L47" s="72" t="s">
        <v>27</v>
      </c>
      <c r="N47" s="72"/>
      <c r="O47" s="73"/>
      <c r="P47" s="80"/>
      <c r="Q47" s="80"/>
    </row>
    <row r="48" spans="2:21" ht="19.5" customHeight="1">
      <c r="B48" s="34"/>
      <c r="C48" s="34"/>
      <c r="D48" s="9"/>
      <c r="E48" s="9"/>
      <c r="F48" s="38"/>
      <c r="G48" s="36"/>
      <c r="H48" s="38"/>
      <c r="I48" s="34"/>
      <c r="J48" s="34"/>
      <c r="K48" s="34"/>
      <c r="L48" s="34"/>
      <c r="M48" s="34"/>
      <c r="O48" s="34"/>
    </row>
    <row r="49" spans="2:17" s="28" customFormat="1">
      <c r="D49" s="11"/>
      <c r="E49" s="11"/>
      <c r="F49" s="31"/>
      <c r="G49" s="32"/>
      <c r="H49" s="31"/>
      <c r="I49" s="31"/>
      <c r="J49" s="39"/>
      <c r="K49" s="39"/>
      <c r="L49" s="39"/>
      <c r="P49" s="80"/>
      <c r="Q49" s="80"/>
    </row>
    <row r="50" spans="2:17" s="28" customFormat="1">
      <c r="D50" s="11"/>
      <c r="E50" s="11"/>
      <c r="F50" s="31"/>
      <c r="G50" s="32"/>
      <c r="H50" s="31"/>
      <c r="I50" s="31"/>
      <c r="J50" s="39"/>
      <c r="K50" s="39"/>
      <c r="L50" s="39"/>
      <c r="P50" s="80"/>
      <c r="Q50" s="80"/>
    </row>
    <row r="54" spans="2:17" s="28" customFormat="1">
      <c r="B54" s="86"/>
      <c r="C54" s="86"/>
      <c r="D54" s="11"/>
      <c r="E54" s="11"/>
      <c r="F54" s="31"/>
      <c r="G54" s="32"/>
      <c r="H54" s="31"/>
      <c r="I54" s="31"/>
      <c r="P54" s="80"/>
      <c r="Q54" s="80"/>
    </row>
  </sheetData>
  <mergeCells count="23">
    <mergeCell ref="B10:I10"/>
    <mergeCell ref="D12:G12"/>
    <mergeCell ref="B9:I9"/>
    <mergeCell ref="J12:K12"/>
    <mergeCell ref="B8:L8"/>
    <mergeCell ref="D2:I2"/>
    <mergeCell ref="B4:L4"/>
    <mergeCell ref="B5:L5"/>
    <mergeCell ref="B6:L6"/>
    <mergeCell ref="B7:L7"/>
    <mergeCell ref="D14:G14"/>
    <mergeCell ref="D15:G15"/>
    <mergeCell ref="D13:G13"/>
    <mergeCell ref="J13:K13"/>
    <mergeCell ref="J14:K14"/>
    <mergeCell ref="B54:C54"/>
    <mergeCell ref="B38:C38"/>
    <mergeCell ref="B46:C46"/>
    <mergeCell ref="I46:J46"/>
    <mergeCell ref="B47:C47"/>
    <mergeCell ref="I47:J47"/>
    <mergeCell ref="B44:L44"/>
    <mergeCell ref="B45:L45"/>
  </mergeCells>
  <phoneticPr fontId="2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Satori</cp:lastModifiedBy>
  <cp:lastPrinted>2022-05-23T01:17:27Z</cp:lastPrinted>
  <dcterms:created xsi:type="dcterms:W3CDTF">2019-03-14T07:54:40Z</dcterms:created>
  <dcterms:modified xsi:type="dcterms:W3CDTF">2026-06-05T02:41:35Z</dcterms:modified>
</cp:coreProperties>
</file>